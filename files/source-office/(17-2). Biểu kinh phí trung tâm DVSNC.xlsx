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8). HĐND xã Rạng Đông khoá II, nhiệm kỳ 2026 - 2031\Tài liệu kỳ họp thứ 3 gửi đại biểu HĐND\"/>
    </mc:Choice>
  </mc:AlternateContent>
  <xr:revisionPtr revIDLastSave="0" documentId="13_ncr:1_{CA5351B6-CED1-419A-A4E6-AB48DFC77649}" xr6:coauthVersionLast="36" xr6:coauthVersionMax="47" xr10:uidLastSave="{00000000-0000-0000-0000-000000000000}"/>
  <bookViews>
    <workbookView xWindow="-120" yWindow="-120" windowWidth="29040" windowHeight="15720" xr2:uid="{4133C614-5301-447D-AB8C-72640CF3B5D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F14" i="1" s="1"/>
  <c r="H14" i="1"/>
  <c r="J14" i="1"/>
  <c r="D14" i="1" s="1"/>
  <c r="H8" i="1" l="1"/>
  <c r="L10" i="1"/>
  <c r="L8" i="1" s="1"/>
  <c r="G11" i="1"/>
  <c r="C11" i="1"/>
  <c r="C10" i="1" s="1"/>
  <c r="J12" i="1"/>
  <c r="F12" i="1"/>
  <c r="E12" i="1" s="1"/>
  <c r="D12" i="1" l="1"/>
  <c r="D11" i="1" s="1"/>
  <c r="J11" i="1"/>
  <c r="J10" i="1" s="1"/>
  <c r="J8" i="1" s="1"/>
  <c r="K15" i="1"/>
  <c r="C8" i="1"/>
  <c r="C15" i="1"/>
  <c r="G10" i="1"/>
  <c r="G8" i="1" s="1"/>
  <c r="G15" i="1"/>
  <c r="F11" i="1"/>
  <c r="F15" i="1" s="1"/>
  <c r="J15" i="1" l="1"/>
  <c r="D10" i="1"/>
  <c r="D8" i="1" s="1"/>
  <c r="D15" i="1"/>
  <c r="E11" i="1"/>
  <c r="E15" i="1" s="1"/>
  <c r="F10" i="1" l="1"/>
  <c r="F8" i="1" s="1"/>
  <c r="E10" i="1"/>
  <c r="E8" i="1" l="1"/>
</calcChain>
</file>

<file path=xl/sharedStrings.xml><?xml version="1.0" encoding="utf-8"?>
<sst xmlns="http://schemas.openxmlformats.org/spreadsheetml/2006/main" count="45" uniqueCount="41">
  <si>
    <t>Đơn vị: Triệu đồng</t>
  </si>
  <si>
    <t>STT</t>
  </si>
  <si>
    <t>TÊN ĐƠN VỊ THỤ HƯỞNG NSNN</t>
  </si>
  <si>
    <t>Tổng số kinh phí  giao dự toán NS năm 2026</t>
  </si>
  <si>
    <t>Chi cho con người</t>
  </si>
  <si>
    <t>Chi hoạt động</t>
  </si>
  <si>
    <t>Ghi chú</t>
  </si>
  <si>
    <t>Tổng</t>
  </si>
  <si>
    <t>CBCC</t>
  </si>
  <si>
    <t>Chi phụ cấp các đối tượng</t>
  </si>
  <si>
    <t>Chia ra</t>
  </si>
  <si>
    <t>Lương, phụ cấp, trợ cấp, nâng lương TX</t>
  </si>
  <si>
    <t>Thưởng</t>
  </si>
  <si>
    <t>Chi nghiệp vụ theo biên chế</t>
  </si>
  <si>
    <t>Chi chính sách, chế độ ĐBXH và SNGD</t>
  </si>
  <si>
    <t>Chi hoạt động QLNN</t>
  </si>
  <si>
    <t>Chi các sự nghiệp còn lại</t>
  </si>
  <si>
    <t>A</t>
  </si>
  <si>
    <t>B</t>
  </si>
  <si>
    <t>2=3+8</t>
  </si>
  <si>
    <t>3=4+7</t>
  </si>
  <si>
    <t>4=5+6</t>
  </si>
  <si>
    <t>5</t>
  </si>
  <si>
    <t>6</t>
  </si>
  <si>
    <t>7</t>
  </si>
  <si>
    <t>8=9+…+12</t>
  </si>
  <si>
    <t>9</t>
  </si>
  <si>
    <t>10</t>
  </si>
  <si>
    <t>11</t>
  </si>
  <si>
    <t>12</t>
  </si>
  <si>
    <t>C</t>
  </si>
  <si>
    <t>Chi đầu tư phát triển</t>
  </si>
  <si>
    <t>TỔNG CỘNG = (A+B+C+D)</t>
  </si>
  <si>
    <t>Trung tâm dịch vụ sự nghiệp công</t>
  </si>
  <si>
    <t xml:space="preserve"> </t>
  </si>
  <si>
    <t>Số cán bộ CNVC, NLĐ có mặt tại thời điểm năm 2026</t>
  </si>
  <si>
    <t>DỰ TOÁN CHI NGÂN SÁCH NHÀ NƯỚC NĂM 2026 CỦA TRUNG TÂM DỊCH VỤ SỰ NGHIỆP CÔNG XÃ RẠNG ĐÔNG</t>
  </si>
  <si>
    <t>(Kèm theo Nghị quyết số       /NQ-HĐND ngày 22 tháng 6 năm 2026 của HĐND xã Rạng Đông)</t>
  </si>
  <si>
    <t xml:space="preserve">TỔNG CHI = (A+B) </t>
  </si>
  <si>
    <t xml:space="preserve">Chi thường xuyên </t>
  </si>
  <si>
    <t xml:space="preserve"> - Cán bộ, công chức và hợp đồng lao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</si>
</sst>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#,##0.0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sz val="12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1" fillId="0" borderId="0"/>
  </cellStyleXfs>
  <cellXfs count="54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165" fontId="8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165" fontId="8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0" borderId="2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2" xfId="1" quotePrefix="1" applyNumberFormat="1" applyFont="1" applyFill="1" applyBorder="1" applyAlignment="1">
      <alignment horizontal="center" vertical="center" wrapText="1"/>
    </xf>
    <xf numFmtId="165" fontId="10" fillId="0" borderId="2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vertical="center" wrapText="1"/>
    </xf>
    <xf numFmtId="164" fontId="3" fillId="0" borderId="2" xfId="1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right" vertical="center"/>
    </xf>
    <xf numFmtId="165" fontId="3" fillId="0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3" fillId="0" borderId="2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right" vertical="center"/>
    </xf>
    <xf numFmtId="165" fontId="2" fillId="0" borderId="0" xfId="1" applyNumberFormat="1" applyFont="1" applyFill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5" fontId="3" fillId="0" borderId="0" xfId="1" applyNumberFormat="1" applyFont="1" applyFill="1" applyAlignment="1">
      <alignment vertical="center"/>
    </xf>
    <xf numFmtId="167" fontId="3" fillId="0" borderId="2" xfId="1" applyNumberFormat="1" applyFont="1" applyFill="1" applyBorder="1" applyAlignment="1">
      <alignment horizontal="right" vertical="center"/>
    </xf>
    <xf numFmtId="164" fontId="2" fillId="0" borderId="2" xfId="1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164" fontId="13" fillId="0" borderId="0" xfId="1" applyNumberFormat="1" applyFont="1" applyFill="1" applyAlignment="1">
      <alignment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5" fontId="8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 vertical="center"/>
    </xf>
    <xf numFmtId="165" fontId="8" fillId="0" borderId="2" xfId="1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10" xfId="2" xr:uid="{2B207CC3-7258-4D55-9256-1B4E5B19C113}"/>
    <cellStyle name="Normal" xfId="0" builtinId="0"/>
    <cellStyle name="Normal 3 2" xfId="4" xr:uid="{912CE75B-A3AB-455E-903A-648DC5E867A6}"/>
    <cellStyle name="Normal 8 2" xfId="3" xr:uid="{BBD0A45F-11AC-4B9C-8B4F-DDD6197083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B&#224;n%20giao%20s&#7889;%20li&#7879;u\B&#224;n%20giao%20s&#7889;%20li&#7879;u\DT%202026%20R&#7841;ng%20&#272;&#244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 CBKCT NĐ"/>
      <sheetName val="thu25-26"/>
      <sheetName val="chi 25"/>
      <sheetName val="thu26"/>
      <sheetName val="BC TỔNG HỢP theo SN"/>
      <sheetName val="Biểu TH các đơn vị"/>
      <sheetName val="PB ĐV theo lĩnh vực"/>
      <sheetName val="TỔNG CHI PHÂN BỔ THEO ĐƠN VỊ"/>
      <sheetName val="Biểu tính chi tiết lên dự toán"/>
      <sheetName val="c. Bieu tong hop DT"/>
      <sheetName val="CB KCT"/>
      <sheetName val="LƯƠNG TỔNG HỢP"/>
      <sheetName val="LƯƠNG CHI TIẾT"/>
      <sheetName val="Trình HĐ cân đối DT biểu số 1"/>
      <sheetName val="TH THU Mẫu biểu số 02"/>
      <sheetName val="TH CHI mẫu biểu số 3"/>
      <sheetName val="DT CHI ĐT mẫu biểu số 4"/>
      <sheetName val="CK 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DT CHI KÈM QĐ PHÂN BỔ "/>
      <sheetName val="MTTQ"/>
      <sheetName val="VPHĐND-UBND"/>
      <sheetName val="VHXH"/>
      <sheetName val="KT"/>
      <sheetName val="HCC"/>
      <sheetName val="ĐU"/>
      <sheetName val="Trạm YT"/>
      <sheetName val="MN RẠNG ĐÔNG"/>
      <sheetName val="MN NAM ĐIỀN"/>
      <sheetName val="MN PHÚC THẮNG"/>
      <sheetName val="TH RẠNG ĐÔNG"/>
      <sheetName val="TH NAM ĐIỀN"/>
      <sheetName val="TH PHÚC THẮNG"/>
      <sheetName val="THCS RẠNG ĐÔNG"/>
      <sheetName val="THCS NAM ĐIỀN"/>
      <sheetName val="THCS PHÚC THẮNG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D25">
            <v>5755</v>
          </cell>
        </row>
      </sheetData>
      <sheetData sheetId="10"/>
      <sheetData sheetId="11">
        <row r="24">
          <cell r="S24">
            <v>0</v>
          </cell>
          <cell r="AH2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C327-8DD1-44BD-942E-9E5775B8FBF6}">
  <dimension ref="A1:Q18"/>
  <sheetViews>
    <sheetView tabSelected="1" workbookViewId="0">
      <selection activeCell="C25" sqref="C25"/>
    </sheetView>
  </sheetViews>
  <sheetFormatPr defaultRowHeight="12.75" x14ac:dyDescent="0.25"/>
  <cols>
    <col min="1" max="1" width="5.140625" style="1" customWidth="1"/>
    <col min="2" max="2" width="29.42578125" style="4" customWidth="1"/>
    <col min="3" max="3" width="8.28515625" style="5" customWidth="1"/>
    <col min="4" max="4" width="14.42578125" style="6" customWidth="1"/>
    <col min="5" max="5" width="10.85546875" style="6" customWidth="1"/>
    <col min="6" max="6" width="10.7109375" style="6" customWidth="1"/>
    <col min="7" max="7" width="11.28515625" style="40" customWidth="1"/>
    <col min="8" max="9" width="7.7109375" style="40" customWidth="1"/>
    <col min="10" max="10" width="10" style="40" customWidth="1"/>
    <col min="11" max="11" width="11" style="40" customWidth="1"/>
    <col min="12" max="12" width="9.7109375" style="40" customWidth="1"/>
    <col min="13" max="13" width="7.85546875" style="40" customWidth="1"/>
    <col min="14" max="14" width="8.42578125" style="40" customWidth="1"/>
    <col min="15" max="15" width="6.140625" style="1" customWidth="1"/>
    <col min="16" max="16" width="9.140625" style="1"/>
    <col min="17" max="17" width="15.140625" style="2" customWidth="1"/>
    <col min="18" max="18" width="22.5703125" style="1" customWidth="1"/>
    <col min="19" max="19" width="14.28515625" style="1" customWidth="1"/>
    <col min="20" max="20" width="10.5703125" style="1" customWidth="1"/>
    <col min="21" max="265" width="9.140625" style="1"/>
    <col min="266" max="266" width="5.140625" style="1" customWidth="1"/>
    <col min="267" max="267" width="45.5703125" style="1" customWidth="1"/>
    <col min="268" max="268" width="9.5703125" style="1" customWidth="1"/>
    <col min="269" max="269" width="13.7109375" style="1" customWidth="1"/>
    <col min="270" max="270" width="13.42578125" style="1" customWidth="1"/>
    <col min="271" max="271" width="13" style="1" customWidth="1"/>
    <col min="272" max="272" width="9.140625" style="1"/>
    <col min="273" max="273" width="25.5703125" style="1" customWidth="1"/>
    <col min="274" max="521" width="9.140625" style="1"/>
    <col min="522" max="522" width="5.140625" style="1" customWidth="1"/>
    <col min="523" max="523" width="45.5703125" style="1" customWidth="1"/>
    <col min="524" max="524" width="9.5703125" style="1" customWidth="1"/>
    <col min="525" max="525" width="13.7109375" style="1" customWidth="1"/>
    <col min="526" max="526" width="13.42578125" style="1" customWidth="1"/>
    <col min="527" max="527" width="13" style="1" customWidth="1"/>
    <col min="528" max="528" width="9.140625" style="1"/>
    <col min="529" max="529" width="25.5703125" style="1" customWidth="1"/>
    <col min="530" max="777" width="9.140625" style="1"/>
    <col min="778" max="778" width="5.140625" style="1" customWidth="1"/>
    <col min="779" max="779" width="45.5703125" style="1" customWidth="1"/>
    <col min="780" max="780" width="9.5703125" style="1" customWidth="1"/>
    <col min="781" max="781" width="13.7109375" style="1" customWidth="1"/>
    <col min="782" max="782" width="13.42578125" style="1" customWidth="1"/>
    <col min="783" max="783" width="13" style="1" customWidth="1"/>
    <col min="784" max="784" width="9.140625" style="1"/>
    <col min="785" max="785" width="25.5703125" style="1" customWidth="1"/>
    <col min="786" max="1033" width="9.140625" style="1"/>
    <col min="1034" max="1034" width="5.140625" style="1" customWidth="1"/>
    <col min="1035" max="1035" width="45.5703125" style="1" customWidth="1"/>
    <col min="1036" max="1036" width="9.5703125" style="1" customWidth="1"/>
    <col min="1037" max="1037" width="13.7109375" style="1" customWidth="1"/>
    <col min="1038" max="1038" width="13.42578125" style="1" customWidth="1"/>
    <col min="1039" max="1039" width="13" style="1" customWidth="1"/>
    <col min="1040" max="1040" width="9.140625" style="1"/>
    <col min="1041" max="1041" width="25.5703125" style="1" customWidth="1"/>
    <col min="1042" max="1289" width="9.140625" style="1"/>
    <col min="1290" max="1290" width="5.140625" style="1" customWidth="1"/>
    <col min="1291" max="1291" width="45.5703125" style="1" customWidth="1"/>
    <col min="1292" max="1292" width="9.5703125" style="1" customWidth="1"/>
    <col min="1293" max="1293" width="13.7109375" style="1" customWidth="1"/>
    <col min="1294" max="1294" width="13.42578125" style="1" customWidth="1"/>
    <col min="1295" max="1295" width="13" style="1" customWidth="1"/>
    <col min="1296" max="1296" width="9.140625" style="1"/>
    <col min="1297" max="1297" width="25.5703125" style="1" customWidth="1"/>
    <col min="1298" max="1545" width="9.140625" style="1"/>
    <col min="1546" max="1546" width="5.140625" style="1" customWidth="1"/>
    <col min="1547" max="1547" width="45.5703125" style="1" customWidth="1"/>
    <col min="1548" max="1548" width="9.5703125" style="1" customWidth="1"/>
    <col min="1549" max="1549" width="13.7109375" style="1" customWidth="1"/>
    <col min="1550" max="1550" width="13.42578125" style="1" customWidth="1"/>
    <col min="1551" max="1551" width="13" style="1" customWidth="1"/>
    <col min="1552" max="1552" width="9.140625" style="1"/>
    <col min="1553" max="1553" width="25.5703125" style="1" customWidth="1"/>
    <col min="1554" max="1801" width="9.140625" style="1"/>
    <col min="1802" max="1802" width="5.140625" style="1" customWidth="1"/>
    <col min="1803" max="1803" width="45.5703125" style="1" customWidth="1"/>
    <col min="1804" max="1804" width="9.5703125" style="1" customWidth="1"/>
    <col min="1805" max="1805" width="13.7109375" style="1" customWidth="1"/>
    <col min="1806" max="1806" width="13.42578125" style="1" customWidth="1"/>
    <col min="1807" max="1807" width="13" style="1" customWidth="1"/>
    <col min="1808" max="1808" width="9.140625" style="1"/>
    <col min="1809" max="1809" width="25.5703125" style="1" customWidth="1"/>
    <col min="1810" max="2057" width="9.140625" style="1"/>
    <col min="2058" max="2058" width="5.140625" style="1" customWidth="1"/>
    <col min="2059" max="2059" width="45.5703125" style="1" customWidth="1"/>
    <col min="2060" max="2060" width="9.5703125" style="1" customWidth="1"/>
    <col min="2061" max="2061" width="13.7109375" style="1" customWidth="1"/>
    <col min="2062" max="2062" width="13.42578125" style="1" customWidth="1"/>
    <col min="2063" max="2063" width="13" style="1" customWidth="1"/>
    <col min="2064" max="2064" width="9.140625" style="1"/>
    <col min="2065" max="2065" width="25.5703125" style="1" customWidth="1"/>
    <col min="2066" max="2313" width="9.140625" style="1"/>
    <col min="2314" max="2314" width="5.140625" style="1" customWidth="1"/>
    <col min="2315" max="2315" width="45.5703125" style="1" customWidth="1"/>
    <col min="2316" max="2316" width="9.5703125" style="1" customWidth="1"/>
    <col min="2317" max="2317" width="13.7109375" style="1" customWidth="1"/>
    <col min="2318" max="2318" width="13.42578125" style="1" customWidth="1"/>
    <col min="2319" max="2319" width="13" style="1" customWidth="1"/>
    <col min="2320" max="2320" width="9.140625" style="1"/>
    <col min="2321" max="2321" width="25.5703125" style="1" customWidth="1"/>
    <col min="2322" max="2569" width="9.140625" style="1"/>
    <col min="2570" max="2570" width="5.140625" style="1" customWidth="1"/>
    <col min="2571" max="2571" width="45.5703125" style="1" customWidth="1"/>
    <col min="2572" max="2572" width="9.5703125" style="1" customWidth="1"/>
    <col min="2573" max="2573" width="13.7109375" style="1" customWidth="1"/>
    <col min="2574" max="2574" width="13.42578125" style="1" customWidth="1"/>
    <col min="2575" max="2575" width="13" style="1" customWidth="1"/>
    <col min="2576" max="2576" width="9.140625" style="1"/>
    <col min="2577" max="2577" width="25.5703125" style="1" customWidth="1"/>
    <col min="2578" max="2825" width="9.140625" style="1"/>
    <col min="2826" max="2826" width="5.140625" style="1" customWidth="1"/>
    <col min="2827" max="2827" width="45.5703125" style="1" customWidth="1"/>
    <col min="2828" max="2828" width="9.5703125" style="1" customWidth="1"/>
    <col min="2829" max="2829" width="13.7109375" style="1" customWidth="1"/>
    <col min="2830" max="2830" width="13.42578125" style="1" customWidth="1"/>
    <col min="2831" max="2831" width="13" style="1" customWidth="1"/>
    <col min="2832" max="2832" width="9.140625" style="1"/>
    <col min="2833" max="2833" width="25.5703125" style="1" customWidth="1"/>
    <col min="2834" max="3081" width="9.140625" style="1"/>
    <col min="3082" max="3082" width="5.140625" style="1" customWidth="1"/>
    <col min="3083" max="3083" width="45.5703125" style="1" customWidth="1"/>
    <col min="3084" max="3084" width="9.5703125" style="1" customWidth="1"/>
    <col min="3085" max="3085" width="13.7109375" style="1" customWidth="1"/>
    <col min="3086" max="3086" width="13.42578125" style="1" customWidth="1"/>
    <col min="3087" max="3087" width="13" style="1" customWidth="1"/>
    <col min="3088" max="3088" width="9.140625" style="1"/>
    <col min="3089" max="3089" width="25.5703125" style="1" customWidth="1"/>
    <col min="3090" max="3337" width="9.140625" style="1"/>
    <col min="3338" max="3338" width="5.140625" style="1" customWidth="1"/>
    <col min="3339" max="3339" width="45.5703125" style="1" customWidth="1"/>
    <col min="3340" max="3340" width="9.5703125" style="1" customWidth="1"/>
    <col min="3341" max="3341" width="13.7109375" style="1" customWidth="1"/>
    <col min="3342" max="3342" width="13.42578125" style="1" customWidth="1"/>
    <col min="3343" max="3343" width="13" style="1" customWidth="1"/>
    <col min="3344" max="3344" width="9.140625" style="1"/>
    <col min="3345" max="3345" width="25.5703125" style="1" customWidth="1"/>
    <col min="3346" max="3593" width="9.140625" style="1"/>
    <col min="3594" max="3594" width="5.140625" style="1" customWidth="1"/>
    <col min="3595" max="3595" width="45.5703125" style="1" customWidth="1"/>
    <col min="3596" max="3596" width="9.5703125" style="1" customWidth="1"/>
    <col min="3597" max="3597" width="13.7109375" style="1" customWidth="1"/>
    <col min="3598" max="3598" width="13.42578125" style="1" customWidth="1"/>
    <col min="3599" max="3599" width="13" style="1" customWidth="1"/>
    <col min="3600" max="3600" width="9.140625" style="1"/>
    <col min="3601" max="3601" width="25.5703125" style="1" customWidth="1"/>
    <col min="3602" max="3849" width="9.140625" style="1"/>
    <col min="3850" max="3850" width="5.140625" style="1" customWidth="1"/>
    <col min="3851" max="3851" width="45.5703125" style="1" customWidth="1"/>
    <col min="3852" max="3852" width="9.5703125" style="1" customWidth="1"/>
    <col min="3853" max="3853" width="13.7109375" style="1" customWidth="1"/>
    <col min="3854" max="3854" width="13.42578125" style="1" customWidth="1"/>
    <col min="3855" max="3855" width="13" style="1" customWidth="1"/>
    <col min="3856" max="3856" width="9.140625" style="1"/>
    <col min="3857" max="3857" width="25.5703125" style="1" customWidth="1"/>
    <col min="3858" max="4105" width="9.140625" style="1"/>
    <col min="4106" max="4106" width="5.140625" style="1" customWidth="1"/>
    <col min="4107" max="4107" width="45.5703125" style="1" customWidth="1"/>
    <col min="4108" max="4108" width="9.5703125" style="1" customWidth="1"/>
    <col min="4109" max="4109" width="13.7109375" style="1" customWidth="1"/>
    <col min="4110" max="4110" width="13.42578125" style="1" customWidth="1"/>
    <col min="4111" max="4111" width="13" style="1" customWidth="1"/>
    <col min="4112" max="4112" width="9.140625" style="1"/>
    <col min="4113" max="4113" width="25.5703125" style="1" customWidth="1"/>
    <col min="4114" max="4361" width="9.140625" style="1"/>
    <col min="4362" max="4362" width="5.140625" style="1" customWidth="1"/>
    <col min="4363" max="4363" width="45.5703125" style="1" customWidth="1"/>
    <col min="4364" max="4364" width="9.5703125" style="1" customWidth="1"/>
    <col min="4365" max="4365" width="13.7109375" style="1" customWidth="1"/>
    <col min="4366" max="4366" width="13.42578125" style="1" customWidth="1"/>
    <col min="4367" max="4367" width="13" style="1" customWidth="1"/>
    <col min="4368" max="4368" width="9.140625" style="1"/>
    <col min="4369" max="4369" width="25.5703125" style="1" customWidth="1"/>
    <col min="4370" max="4617" width="9.140625" style="1"/>
    <col min="4618" max="4618" width="5.140625" style="1" customWidth="1"/>
    <col min="4619" max="4619" width="45.5703125" style="1" customWidth="1"/>
    <col min="4620" max="4620" width="9.5703125" style="1" customWidth="1"/>
    <col min="4621" max="4621" width="13.7109375" style="1" customWidth="1"/>
    <col min="4622" max="4622" width="13.42578125" style="1" customWidth="1"/>
    <col min="4623" max="4623" width="13" style="1" customWidth="1"/>
    <col min="4624" max="4624" width="9.140625" style="1"/>
    <col min="4625" max="4625" width="25.5703125" style="1" customWidth="1"/>
    <col min="4626" max="4873" width="9.140625" style="1"/>
    <col min="4874" max="4874" width="5.140625" style="1" customWidth="1"/>
    <col min="4875" max="4875" width="45.5703125" style="1" customWidth="1"/>
    <col min="4876" max="4876" width="9.5703125" style="1" customWidth="1"/>
    <col min="4877" max="4877" width="13.7109375" style="1" customWidth="1"/>
    <col min="4878" max="4878" width="13.42578125" style="1" customWidth="1"/>
    <col min="4879" max="4879" width="13" style="1" customWidth="1"/>
    <col min="4880" max="4880" width="9.140625" style="1"/>
    <col min="4881" max="4881" width="25.5703125" style="1" customWidth="1"/>
    <col min="4882" max="5129" width="9.140625" style="1"/>
    <col min="5130" max="5130" width="5.140625" style="1" customWidth="1"/>
    <col min="5131" max="5131" width="45.5703125" style="1" customWidth="1"/>
    <col min="5132" max="5132" width="9.5703125" style="1" customWidth="1"/>
    <col min="5133" max="5133" width="13.7109375" style="1" customWidth="1"/>
    <col min="5134" max="5134" width="13.42578125" style="1" customWidth="1"/>
    <col min="5135" max="5135" width="13" style="1" customWidth="1"/>
    <col min="5136" max="5136" width="9.140625" style="1"/>
    <col min="5137" max="5137" width="25.5703125" style="1" customWidth="1"/>
    <col min="5138" max="5385" width="9.140625" style="1"/>
    <col min="5386" max="5386" width="5.140625" style="1" customWidth="1"/>
    <col min="5387" max="5387" width="45.5703125" style="1" customWidth="1"/>
    <col min="5388" max="5388" width="9.5703125" style="1" customWidth="1"/>
    <col min="5389" max="5389" width="13.7109375" style="1" customWidth="1"/>
    <col min="5390" max="5390" width="13.42578125" style="1" customWidth="1"/>
    <col min="5391" max="5391" width="13" style="1" customWidth="1"/>
    <col min="5392" max="5392" width="9.140625" style="1"/>
    <col min="5393" max="5393" width="25.5703125" style="1" customWidth="1"/>
    <col min="5394" max="5641" width="9.140625" style="1"/>
    <col min="5642" max="5642" width="5.140625" style="1" customWidth="1"/>
    <col min="5643" max="5643" width="45.5703125" style="1" customWidth="1"/>
    <col min="5644" max="5644" width="9.5703125" style="1" customWidth="1"/>
    <col min="5645" max="5645" width="13.7109375" style="1" customWidth="1"/>
    <col min="5646" max="5646" width="13.42578125" style="1" customWidth="1"/>
    <col min="5647" max="5647" width="13" style="1" customWidth="1"/>
    <col min="5648" max="5648" width="9.140625" style="1"/>
    <col min="5649" max="5649" width="25.5703125" style="1" customWidth="1"/>
    <col min="5650" max="5897" width="9.140625" style="1"/>
    <col min="5898" max="5898" width="5.140625" style="1" customWidth="1"/>
    <col min="5899" max="5899" width="45.5703125" style="1" customWidth="1"/>
    <col min="5900" max="5900" width="9.5703125" style="1" customWidth="1"/>
    <col min="5901" max="5901" width="13.7109375" style="1" customWidth="1"/>
    <col min="5902" max="5902" width="13.42578125" style="1" customWidth="1"/>
    <col min="5903" max="5903" width="13" style="1" customWidth="1"/>
    <col min="5904" max="5904" width="9.140625" style="1"/>
    <col min="5905" max="5905" width="25.5703125" style="1" customWidth="1"/>
    <col min="5906" max="6153" width="9.140625" style="1"/>
    <col min="6154" max="6154" width="5.140625" style="1" customWidth="1"/>
    <col min="6155" max="6155" width="45.5703125" style="1" customWidth="1"/>
    <col min="6156" max="6156" width="9.5703125" style="1" customWidth="1"/>
    <col min="6157" max="6157" width="13.7109375" style="1" customWidth="1"/>
    <col min="6158" max="6158" width="13.42578125" style="1" customWidth="1"/>
    <col min="6159" max="6159" width="13" style="1" customWidth="1"/>
    <col min="6160" max="6160" width="9.140625" style="1"/>
    <col min="6161" max="6161" width="25.5703125" style="1" customWidth="1"/>
    <col min="6162" max="6409" width="9.140625" style="1"/>
    <col min="6410" max="6410" width="5.140625" style="1" customWidth="1"/>
    <col min="6411" max="6411" width="45.5703125" style="1" customWidth="1"/>
    <col min="6412" max="6412" width="9.5703125" style="1" customWidth="1"/>
    <col min="6413" max="6413" width="13.7109375" style="1" customWidth="1"/>
    <col min="6414" max="6414" width="13.42578125" style="1" customWidth="1"/>
    <col min="6415" max="6415" width="13" style="1" customWidth="1"/>
    <col min="6416" max="6416" width="9.140625" style="1"/>
    <col min="6417" max="6417" width="25.5703125" style="1" customWidth="1"/>
    <col min="6418" max="6665" width="9.140625" style="1"/>
    <col min="6666" max="6666" width="5.140625" style="1" customWidth="1"/>
    <col min="6667" max="6667" width="45.5703125" style="1" customWidth="1"/>
    <col min="6668" max="6668" width="9.5703125" style="1" customWidth="1"/>
    <col min="6669" max="6669" width="13.7109375" style="1" customWidth="1"/>
    <col min="6670" max="6670" width="13.42578125" style="1" customWidth="1"/>
    <col min="6671" max="6671" width="13" style="1" customWidth="1"/>
    <col min="6672" max="6672" width="9.140625" style="1"/>
    <col min="6673" max="6673" width="25.5703125" style="1" customWidth="1"/>
    <col min="6674" max="6921" width="9.140625" style="1"/>
    <col min="6922" max="6922" width="5.140625" style="1" customWidth="1"/>
    <col min="6923" max="6923" width="45.5703125" style="1" customWidth="1"/>
    <col min="6924" max="6924" width="9.5703125" style="1" customWidth="1"/>
    <col min="6925" max="6925" width="13.7109375" style="1" customWidth="1"/>
    <col min="6926" max="6926" width="13.42578125" style="1" customWidth="1"/>
    <col min="6927" max="6927" width="13" style="1" customWidth="1"/>
    <col min="6928" max="6928" width="9.140625" style="1"/>
    <col min="6929" max="6929" width="25.5703125" style="1" customWidth="1"/>
    <col min="6930" max="7177" width="9.140625" style="1"/>
    <col min="7178" max="7178" width="5.140625" style="1" customWidth="1"/>
    <col min="7179" max="7179" width="45.5703125" style="1" customWidth="1"/>
    <col min="7180" max="7180" width="9.5703125" style="1" customWidth="1"/>
    <col min="7181" max="7181" width="13.7109375" style="1" customWidth="1"/>
    <col min="7182" max="7182" width="13.42578125" style="1" customWidth="1"/>
    <col min="7183" max="7183" width="13" style="1" customWidth="1"/>
    <col min="7184" max="7184" width="9.140625" style="1"/>
    <col min="7185" max="7185" width="25.5703125" style="1" customWidth="1"/>
    <col min="7186" max="7433" width="9.140625" style="1"/>
    <col min="7434" max="7434" width="5.140625" style="1" customWidth="1"/>
    <col min="7435" max="7435" width="45.5703125" style="1" customWidth="1"/>
    <col min="7436" max="7436" width="9.5703125" style="1" customWidth="1"/>
    <col min="7437" max="7437" width="13.7109375" style="1" customWidth="1"/>
    <col min="7438" max="7438" width="13.42578125" style="1" customWidth="1"/>
    <col min="7439" max="7439" width="13" style="1" customWidth="1"/>
    <col min="7440" max="7440" width="9.140625" style="1"/>
    <col min="7441" max="7441" width="25.5703125" style="1" customWidth="1"/>
    <col min="7442" max="7689" width="9.140625" style="1"/>
    <col min="7690" max="7690" width="5.140625" style="1" customWidth="1"/>
    <col min="7691" max="7691" width="45.5703125" style="1" customWidth="1"/>
    <col min="7692" max="7692" width="9.5703125" style="1" customWidth="1"/>
    <col min="7693" max="7693" width="13.7109375" style="1" customWidth="1"/>
    <col min="7694" max="7694" width="13.42578125" style="1" customWidth="1"/>
    <col min="7695" max="7695" width="13" style="1" customWidth="1"/>
    <col min="7696" max="7696" width="9.140625" style="1"/>
    <col min="7697" max="7697" width="25.5703125" style="1" customWidth="1"/>
    <col min="7698" max="7945" width="9.140625" style="1"/>
    <col min="7946" max="7946" width="5.140625" style="1" customWidth="1"/>
    <col min="7947" max="7947" width="45.5703125" style="1" customWidth="1"/>
    <col min="7948" max="7948" width="9.5703125" style="1" customWidth="1"/>
    <col min="7949" max="7949" width="13.7109375" style="1" customWidth="1"/>
    <col min="7950" max="7950" width="13.42578125" style="1" customWidth="1"/>
    <col min="7951" max="7951" width="13" style="1" customWidth="1"/>
    <col min="7952" max="7952" width="9.140625" style="1"/>
    <col min="7953" max="7953" width="25.5703125" style="1" customWidth="1"/>
    <col min="7954" max="8201" width="9.140625" style="1"/>
    <col min="8202" max="8202" width="5.140625" style="1" customWidth="1"/>
    <col min="8203" max="8203" width="45.5703125" style="1" customWidth="1"/>
    <col min="8204" max="8204" width="9.5703125" style="1" customWidth="1"/>
    <col min="8205" max="8205" width="13.7109375" style="1" customWidth="1"/>
    <col min="8206" max="8206" width="13.42578125" style="1" customWidth="1"/>
    <col min="8207" max="8207" width="13" style="1" customWidth="1"/>
    <col min="8208" max="8208" width="9.140625" style="1"/>
    <col min="8209" max="8209" width="25.5703125" style="1" customWidth="1"/>
    <col min="8210" max="8457" width="9.140625" style="1"/>
    <col min="8458" max="8458" width="5.140625" style="1" customWidth="1"/>
    <col min="8459" max="8459" width="45.5703125" style="1" customWidth="1"/>
    <col min="8460" max="8460" width="9.5703125" style="1" customWidth="1"/>
    <col min="8461" max="8461" width="13.7109375" style="1" customWidth="1"/>
    <col min="8462" max="8462" width="13.42578125" style="1" customWidth="1"/>
    <col min="8463" max="8463" width="13" style="1" customWidth="1"/>
    <col min="8464" max="8464" width="9.140625" style="1"/>
    <col min="8465" max="8465" width="25.5703125" style="1" customWidth="1"/>
    <col min="8466" max="8713" width="9.140625" style="1"/>
    <col min="8714" max="8714" width="5.140625" style="1" customWidth="1"/>
    <col min="8715" max="8715" width="45.5703125" style="1" customWidth="1"/>
    <col min="8716" max="8716" width="9.5703125" style="1" customWidth="1"/>
    <col min="8717" max="8717" width="13.7109375" style="1" customWidth="1"/>
    <col min="8718" max="8718" width="13.42578125" style="1" customWidth="1"/>
    <col min="8719" max="8719" width="13" style="1" customWidth="1"/>
    <col min="8720" max="8720" width="9.140625" style="1"/>
    <col min="8721" max="8721" width="25.5703125" style="1" customWidth="1"/>
    <col min="8722" max="8969" width="9.140625" style="1"/>
    <col min="8970" max="8970" width="5.140625" style="1" customWidth="1"/>
    <col min="8971" max="8971" width="45.5703125" style="1" customWidth="1"/>
    <col min="8972" max="8972" width="9.5703125" style="1" customWidth="1"/>
    <col min="8973" max="8973" width="13.7109375" style="1" customWidth="1"/>
    <col min="8974" max="8974" width="13.42578125" style="1" customWidth="1"/>
    <col min="8975" max="8975" width="13" style="1" customWidth="1"/>
    <col min="8976" max="8976" width="9.140625" style="1"/>
    <col min="8977" max="8977" width="25.5703125" style="1" customWidth="1"/>
    <col min="8978" max="9225" width="9.140625" style="1"/>
    <col min="9226" max="9226" width="5.140625" style="1" customWidth="1"/>
    <col min="9227" max="9227" width="45.5703125" style="1" customWidth="1"/>
    <col min="9228" max="9228" width="9.5703125" style="1" customWidth="1"/>
    <col min="9229" max="9229" width="13.7109375" style="1" customWidth="1"/>
    <col min="9230" max="9230" width="13.42578125" style="1" customWidth="1"/>
    <col min="9231" max="9231" width="13" style="1" customWidth="1"/>
    <col min="9232" max="9232" width="9.140625" style="1"/>
    <col min="9233" max="9233" width="25.5703125" style="1" customWidth="1"/>
    <col min="9234" max="9481" width="9.140625" style="1"/>
    <col min="9482" max="9482" width="5.140625" style="1" customWidth="1"/>
    <col min="9483" max="9483" width="45.5703125" style="1" customWidth="1"/>
    <col min="9484" max="9484" width="9.5703125" style="1" customWidth="1"/>
    <col min="9485" max="9485" width="13.7109375" style="1" customWidth="1"/>
    <col min="9486" max="9486" width="13.42578125" style="1" customWidth="1"/>
    <col min="9487" max="9487" width="13" style="1" customWidth="1"/>
    <col min="9488" max="9488" width="9.140625" style="1"/>
    <col min="9489" max="9489" width="25.5703125" style="1" customWidth="1"/>
    <col min="9490" max="9737" width="9.140625" style="1"/>
    <col min="9738" max="9738" width="5.140625" style="1" customWidth="1"/>
    <col min="9739" max="9739" width="45.5703125" style="1" customWidth="1"/>
    <col min="9740" max="9740" width="9.5703125" style="1" customWidth="1"/>
    <col min="9741" max="9741" width="13.7109375" style="1" customWidth="1"/>
    <col min="9742" max="9742" width="13.42578125" style="1" customWidth="1"/>
    <col min="9743" max="9743" width="13" style="1" customWidth="1"/>
    <col min="9744" max="9744" width="9.140625" style="1"/>
    <col min="9745" max="9745" width="25.5703125" style="1" customWidth="1"/>
    <col min="9746" max="9993" width="9.140625" style="1"/>
    <col min="9994" max="9994" width="5.140625" style="1" customWidth="1"/>
    <col min="9995" max="9995" width="45.5703125" style="1" customWidth="1"/>
    <col min="9996" max="9996" width="9.5703125" style="1" customWidth="1"/>
    <col min="9997" max="9997" width="13.7109375" style="1" customWidth="1"/>
    <col min="9998" max="9998" width="13.42578125" style="1" customWidth="1"/>
    <col min="9999" max="9999" width="13" style="1" customWidth="1"/>
    <col min="10000" max="10000" width="9.140625" style="1"/>
    <col min="10001" max="10001" width="25.5703125" style="1" customWidth="1"/>
    <col min="10002" max="10249" width="9.140625" style="1"/>
    <col min="10250" max="10250" width="5.140625" style="1" customWidth="1"/>
    <col min="10251" max="10251" width="45.5703125" style="1" customWidth="1"/>
    <col min="10252" max="10252" width="9.5703125" style="1" customWidth="1"/>
    <col min="10253" max="10253" width="13.7109375" style="1" customWidth="1"/>
    <col min="10254" max="10254" width="13.42578125" style="1" customWidth="1"/>
    <col min="10255" max="10255" width="13" style="1" customWidth="1"/>
    <col min="10256" max="10256" width="9.140625" style="1"/>
    <col min="10257" max="10257" width="25.5703125" style="1" customWidth="1"/>
    <col min="10258" max="10505" width="9.140625" style="1"/>
    <col min="10506" max="10506" width="5.140625" style="1" customWidth="1"/>
    <col min="10507" max="10507" width="45.5703125" style="1" customWidth="1"/>
    <col min="10508" max="10508" width="9.5703125" style="1" customWidth="1"/>
    <col min="10509" max="10509" width="13.7109375" style="1" customWidth="1"/>
    <col min="10510" max="10510" width="13.42578125" style="1" customWidth="1"/>
    <col min="10511" max="10511" width="13" style="1" customWidth="1"/>
    <col min="10512" max="10512" width="9.140625" style="1"/>
    <col min="10513" max="10513" width="25.5703125" style="1" customWidth="1"/>
    <col min="10514" max="10761" width="9.140625" style="1"/>
    <col min="10762" max="10762" width="5.140625" style="1" customWidth="1"/>
    <col min="10763" max="10763" width="45.5703125" style="1" customWidth="1"/>
    <col min="10764" max="10764" width="9.5703125" style="1" customWidth="1"/>
    <col min="10765" max="10765" width="13.7109375" style="1" customWidth="1"/>
    <col min="10766" max="10766" width="13.42578125" style="1" customWidth="1"/>
    <col min="10767" max="10767" width="13" style="1" customWidth="1"/>
    <col min="10768" max="10768" width="9.140625" style="1"/>
    <col min="10769" max="10769" width="25.5703125" style="1" customWidth="1"/>
    <col min="10770" max="11017" width="9.140625" style="1"/>
    <col min="11018" max="11018" width="5.140625" style="1" customWidth="1"/>
    <col min="11019" max="11019" width="45.5703125" style="1" customWidth="1"/>
    <col min="11020" max="11020" width="9.5703125" style="1" customWidth="1"/>
    <col min="11021" max="11021" width="13.7109375" style="1" customWidth="1"/>
    <col min="11022" max="11022" width="13.42578125" style="1" customWidth="1"/>
    <col min="11023" max="11023" width="13" style="1" customWidth="1"/>
    <col min="11024" max="11024" width="9.140625" style="1"/>
    <col min="11025" max="11025" width="25.5703125" style="1" customWidth="1"/>
    <col min="11026" max="11273" width="9.140625" style="1"/>
    <col min="11274" max="11274" width="5.140625" style="1" customWidth="1"/>
    <col min="11275" max="11275" width="45.5703125" style="1" customWidth="1"/>
    <col min="11276" max="11276" width="9.5703125" style="1" customWidth="1"/>
    <col min="11277" max="11277" width="13.7109375" style="1" customWidth="1"/>
    <col min="11278" max="11278" width="13.42578125" style="1" customWidth="1"/>
    <col min="11279" max="11279" width="13" style="1" customWidth="1"/>
    <col min="11280" max="11280" width="9.140625" style="1"/>
    <col min="11281" max="11281" width="25.5703125" style="1" customWidth="1"/>
    <col min="11282" max="11529" width="9.140625" style="1"/>
    <col min="11530" max="11530" width="5.140625" style="1" customWidth="1"/>
    <col min="11531" max="11531" width="45.5703125" style="1" customWidth="1"/>
    <col min="11532" max="11532" width="9.5703125" style="1" customWidth="1"/>
    <col min="11533" max="11533" width="13.7109375" style="1" customWidth="1"/>
    <col min="11534" max="11534" width="13.42578125" style="1" customWidth="1"/>
    <col min="11535" max="11535" width="13" style="1" customWidth="1"/>
    <col min="11536" max="11536" width="9.140625" style="1"/>
    <col min="11537" max="11537" width="25.5703125" style="1" customWidth="1"/>
    <col min="11538" max="11785" width="9.140625" style="1"/>
    <col min="11786" max="11786" width="5.140625" style="1" customWidth="1"/>
    <col min="11787" max="11787" width="45.5703125" style="1" customWidth="1"/>
    <col min="11788" max="11788" width="9.5703125" style="1" customWidth="1"/>
    <col min="11789" max="11789" width="13.7109375" style="1" customWidth="1"/>
    <col min="11790" max="11790" width="13.42578125" style="1" customWidth="1"/>
    <col min="11791" max="11791" width="13" style="1" customWidth="1"/>
    <col min="11792" max="11792" width="9.140625" style="1"/>
    <col min="11793" max="11793" width="25.5703125" style="1" customWidth="1"/>
    <col min="11794" max="12041" width="9.140625" style="1"/>
    <col min="12042" max="12042" width="5.140625" style="1" customWidth="1"/>
    <col min="12043" max="12043" width="45.5703125" style="1" customWidth="1"/>
    <col min="12044" max="12044" width="9.5703125" style="1" customWidth="1"/>
    <col min="12045" max="12045" width="13.7109375" style="1" customWidth="1"/>
    <col min="12046" max="12046" width="13.42578125" style="1" customWidth="1"/>
    <col min="12047" max="12047" width="13" style="1" customWidth="1"/>
    <col min="12048" max="12048" width="9.140625" style="1"/>
    <col min="12049" max="12049" width="25.5703125" style="1" customWidth="1"/>
    <col min="12050" max="12297" width="9.140625" style="1"/>
    <col min="12298" max="12298" width="5.140625" style="1" customWidth="1"/>
    <col min="12299" max="12299" width="45.5703125" style="1" customWidth="1"/>
    <col min="12300" max="12300" width="9.5703125" style="1" customWidth="1"/>
    <col min="12301" max="12301" width="13.7109375" style="1" customWidth="1"/>
    <col min="12302" max="12302" width="13.42578125" style="1" customWidth="1"/>
    <col min="12303" max="12303" width="13" style="1" customWidth="1"/>
    <col min="12304" max="12304" width="9.140625" style="1"/>
    <col min="12305" max="12305" width="25.5703125" style="1" customWidth="1"/>
    <col min="12306" max="12553" width="9.140625" style="1"/>
    <col min="12554" max="12554" width="5.140625" style="1" customWidth="1"/>
    <col min="12555" max="12555" width="45.5703125" style="1" customWidth="1"/>
    <col min="12556" max="12556" width="9.5703125" style="1" customWidth="1"/>
    <col min="12557" max="12557" width="13.7109375" style="1" customWidth="1"/>
    <col min="12558" max="12558" width="13.42578125" style="1" customWidth="1"/>
    <col min="12559" max="12559" width="13" style="1" customWidth="1"/>
    <col min="12560" max="12560" width="9.140625" style="1"/>
    <col min="12561" max="12561" width="25.5703125" style="1" customWidth="1"/>
    <col min="12562" max="12809" width="9.140625" style="1"/>
    <col min="12810" max="12810" width="5.140625" style="1" customWidth="1"/>
    <col min="12811" max="12811" width="45.5703125" style="1" customWidth="1"/>
    <col min="12812" max="12812" width="9.5703125" style="1" customWidth="1"/>
    <col min="12813" max="12813" width="13.7109375" style="1" customWidth="1"/>
    <col min="12814" max="12814" width="13.42578125" style="1" customWidth="1"/>
    <col min="12815" max="12815" width="13" style="1" customWidth="1"/>
    <col min="12816" max="12816" width="9.140625" style="1"/>
    <col min="12817" max="12817" width="25.5703125" style="1" customWidth="1"/>
    <col min="12818" max="13065" width="9.140625" style="1"/>
    <col min="13066" max="13066" width="5.140625" style="1" customWidth="1"/>
    <col min="13067" max="13067" width="45.5703125" style="1" customWidth="1"/>
    <col min="13068" max="13068" width="9.5703125" style="1" customWidth="1"/>
    <col min="13069" max="13069" width="13.7109375" style="1" customWidth="1"/>
    <col min="13070" max="13070" width="13.42578125" style="1" customWidth="1"/>
    <col min="13071" max="13071" width="13" style="1" customWidth="1"/>
    <col min="13072" max="13072" width="9.140625" style="1"/>
    <col min="13073" max="13073" width="25.5703125" style="1" customWidth="1"/>
    <col min="13074" max="13321" width="9.140625" style="1"/>
    <col min="13322" max="13322" width="5.140625" style="1" customWidth="1"/>
    <col min="13323" max="13323" width="45.5703125" style="1" customWidth="1"/>
    <col min="13324" max="13324" width="9.5703125" style="1" customWidth="1"/>
    <col min="13325" max="13325" width="13.7109375" style="1" customWidth="1"/>
    <col min="13326" max="13326" width="13.42578125" style="1" customWidth="1"/>
    <col min="13327" max="13327" width="13" style="1" customWidth="1"/>
    <col min="13328" max="13328" width="9.140625" style="1"/>
    <col min="13329" max="13329" width="25.5703125" style="1" customWidth="1"/>
    <col min="13330" max="13577" width="9.140625" style="1"/>
    <col min="13578" max="13578" width="5.140625" style="1" customWidth="1"/>
    <col min="13579" max="13579" width="45.5703125" style="1" customWidth="1"/>
    <col min="13580" max="13580" width="9.5703125" style="1" customWidth="1"/>
    <col min="13581" max="13581" width="13.7109375" style="1" customWidth="1"/>
    <col min="13582" max="13582" width="13.42578125" style="1" customWidth="1"/>
    <col min="13583" max="13583" width="13" style="1" customWidth="1"/>
    <col min="13584" max="13584" width="9.140625" style="1"/>
    <col min="13585" max="13585" width="25.5703125" style="1" customWidth="1"/>
    <col min="13586" max="13833" width="9.140625" style="1"/>
    <col min="13834" max="13834" width="5.140625" style="1" customWidth="1"/>
    <col min="13835" max="13835" width="45.5703125" style="1" customWidth="1"/>
    <col min="13836" max="13836" width="9.5703125" style="1" customWidth="1"/>
    <col min="13837" max="13837" width="13.7109375" style="1" customWidth="1"/>
    <col min="13838" max="13838" width="13.42578125" style="1" customWidth="1"/>
    <col min="13839" max="13839" width="13" style="1" customWidth="1"/>
    <col min="13840" max="13840" width="9.140625" style="1"/>
    <col min="13841" max="13841" width="25.5703125" style="1" customWidth="1"/>
    <col min="13842" max="14089" width="9.140625" style="1"/>
    <col min="14090" max="14090" width="5.140625" style="1" customWidth="1"/>
    <col min="14091" max="14091" width="45.5703125" style="1" customWidth="1"/>
    <col min="14092" max="14092" width="9.5703125" style="1" customWidth="1"/>
    <col min="14093" max="14093" width="13.7109375" style="1" customWidth="1"/>
    <col min="14094" max="14094" width="13.42578125" style="1" customWidth="1"/>
    <col min="14095" max="14095" width="13" style="1" customWidth="1"/>
    <col min="14096" max="14096" width="9.140625" style="1"/>
    <col min="14097" max="14097" width="25.5703125" style="1" customWidth="1"/>
    <col min="14098" max="14345" width="9.140625" style="1"/>
    <col min="14346" max="14346" width="5.140625" style="1" customWidth="1"/>
    <col min="14347" max="14347" width="45.5703125" style="1" customWidth="1"/>
    <col min="14348" max="14348" width="9.5703125" style="1" customWidth="1"/>
    <col min="14349" max="14349" width="13.7109375" style="1" customWidth="1"/>
    <col min="14350" max="14350" width="13.42578125" style="1" customWidth="1"/>
    <col min="14351" max="14351" width="13" style="1" customWidth="1"/>
    <col min="14352" max="14352" width="9.140625" style="1"/>
    <col min="14353" max="14353" width="25.5703125" style="1" customWidth="1"/>
    <col min="14354" max="14601" width="9.140625" style="1"/>
    <col min="14602" max="14602" width="5.140625" style="1" customWidth="1"/>
    <col min="14603" max="14603" width="45.5703125" style="1" customWidth="1"/>
    <col min="14604" max="14604" width="9.5703125" style="1" customWidth="1"/>
    <col min="14605" max="14605" width="13.7109375" style="1" customWidth="1"/>
    <col min="14606" max="14606" width="13.42578125" style="1" customWidth="1"/>
    <col min="14607" max="14607" width="13" style="1" customWidth="1"/>
    <col min="14608" max="14608" width="9.140625" style="1"/>
    <col min="14609" max="14609" width="25.5703125" style="1" customWidth="1"/>
    <col min="14610" max="14857" width="9.140625" style="1"/>
    <col min="14858" max="14858" width="5.140625" style="1" customWidth="1"/>
    <col min="14859" max="14859" width="45.5703125" style="1" customWidth="1"/>
    <col min="14860" max="14860" width="9.5703125" style="1" customWidth="1"/>
    <col min="14861" max="14861" width="13.7109375" style="1" customWidth="1"/>
    <col min="14862" max="14862" width="13.42578125" style="1" customWidth="1"/>
    <col min="14863" max="14863" width="13" style="1" customWidth="1"/>
    <col min="14864" max="14864" width="9.140625" style="1"/>
    <col min="14865" max="14865" width="25.5703125" style="1" customWidth="1"/>
    <col min="14866" max="15113" width="9.140625" style="1"/>
    <col min="15114" max="15114" width="5.140625" style="1" customWidth="1"/>
    <col min="15115" max="15115" width="45.5703125" style="1" customWidth="1"/>
    <col min="15116" max="15116" width="9.5703125" style="1" customWidth="1"/>
    <col min="15117" max="15117" width="13.7109375" style="1" customWidth="1"/>
    <col min="15118" max="15118" width="13.42578125" style="1" customWidth="1"/>
    <col min="15119" max="15119" width="13" style="1" customWidth="1"/>
    <col min="15120" max="15120" width="9.140625" style="1"/>
    <col min="15121" max="15121" width="25.5703125" style="1" customWidth="1"/>
    <col min="15122" max="15369" width="9.140625" style="1"/>
    <col min="15370" max="15370" width="5.140625" style="1" customWidth="1"/>
    <col min="15371" max="15371" width="45.5703125" style="1" customWidth="1"/>
    <col min="15372" max="15372" width="9.5703125" style="1" customWidth="1"/>
    <col min="15373" max="15373" width="13.7109375" style="1" customWidth="1"/>
    <col min="15374" max="15374" width="13.42578125" style="1" customWidth="1"/>
    <col min="15375" max="15375" width="13" style="1" customWidth="1"/>
    <col min="15376" max="15376" width="9.140625" style="1"/>
    <col min="15377" max="15377" width="25.5703125" style="1" customWidth="1"/>
    <col min="15378" max="15625" width="9.140625" style="1"/>
    <col min="15626" max="15626" width="5.140625" style="1" customWidth="1"/>
    <col min="15627" max="15627" width="45.5703125" style="1" customWidth="1"/>
    <col min="15628" max="15628" width="9.5703125" style="1" customWidth="1"/>
    <col min="15629" max="15629" width="13.7109375" style="1" customWidth="1"/>
    <col min="15630" max="15630" width="13.42578125" style="1" customWidth="1"/>
    <col min="15631" max="15631" width="13" style="1" customWidth="1"/>
    <col min="15632" max="15632" width="9.140625" style="1"/>
    <col min="15633" max="15633" width="25.5703125" style="1" customWidth="1"/>
    <col min="15634" max="15881" width="9.140625" style="1"/>
    <col min="15882" max="15882" width="5.140625" style="1" customWidth="1"/>
    <col min="15883" max="15883" width="45.5703125" style="1" customWidth="1"/>
    <col min="15884" max="15884" width="9.5703125" style="1" customWidth="1"/>
    <col min="15885" max="15885" width="13.7109375" style="1" customWidth="1"/>
    <col min="15886" max="15886" width="13.42578125" style="1" customWidth="1"/>
    <col min="15887" max="15887" width="13" style="1" customWidth="1"/>
    <col min="15888" max="15888" width="9.140625" style="1"/>
    <col min="15889" max="15889" width="25.5703125" style="1" customWidth="1"/>
    <col min="15890" max="16137" width="9.140625" style="1"/>
    <col min="16138" max="16138" width="5.140625" style="1" customWidth="1"/>
    <col min="16139" max="16139" width="45.5703125" style="1" customWidth="1"/>
    <col min="16140" max="16140" width="9.5703125" style="1" customWidth="1"/>
    <col min="16141" max="16141" width="13.7109375" style="1" customWidth="1"/>
    <col min="16142" max="16142" width="13.42578125" style="1" customWidth="1"/>
    <col min="16143" max="16143" width="13" style="1" customWidth="1"/>
    <col min="16144" max="16144" width="9.140625" style="1"/>
    <col min="16145" max="16145" width="25.5703125" style="1" customWidth="1"/>
    <col min="16146" max="16384" width="9.140625" style="1"/>
  </cols>
  <sheetData>
    <row r="1" spans="1:17" s="43" customFormat="1" ht="20.25" customHeight="1" x14ac:dyDescent="0.25">
      <c r="A1" s="48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Q1" s="44"/>
    </row>
    <row r="2" spans="1:17" s="43" customFormat="1" ht="21" customHeight="1" x14ac:dyDescent="0.25">
      <c r="A2" s="49" t="s">
        <v>37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Q2" s="44"/>
    </row>
    <row r="3" spans="1:17" ht="18.600000000000001" customHeight="1" x14ac:dyDescent="0.25">
      <c r="A3" s="3"/>
      <c r="G3" s="7"/>
      <c r="H3" s="7"/>
      <c r="I3" s="7"/>
      <c r="J3" s="7"/>
      <c r="K3" s="7"/>
      <c r="L3" s="7"/>
      <c r="M3" s="45" t="s">
        <v>0</v>
      </c>
      <c r="N3" s="45"/>
      <c r="O3" s="45"/>
    </row>
    <row r="4" spans="1:17" s="10" customFormat="1" ht="26.25" customHeight="1" x14ac:dyDescent="0.25">
      <c r="A4" s="50" t="s">
        <v>1</v>
      </c>
      <c r="B4" s="50" t="s">
        <v>2</v>
      </c>
      <c r="C4" s="50" t="s">
        <v>35</v>
      </c>
      <c r="D4" s="51" t="s">
        <v>3</v>
      </c>
      <c r="E4" s="51" t="s">
        <v>4</v>
      </c>
      <c r="F4" s="51"/>
      <c r="G4" s="51"/>
      <c r="H4" s="51"/>
      <c r="I4" s="51"/>
      <c r="J4" s="52" t="s">
        <v>5</v>
      </c>
      <c r="K4" s="52"/>
      <c r="L4" s="52"/>
      <c r="M4" s="52"/>
      <c r="N4" s="52"/>
      <c r="O4" s="50" t="s">
        <v>6</v>
      </c>
      <c r="Q4" s="11"/>
    </row>
    <row r="5" spans="1:17" s="10" customFormat="1" ht="21" customHeight="1" x14ac:dyDescent="0.25">
      <c r="A5" s="50"/>
      <c r="B5" s="50"/>
      <c r="C5" s="50"/>
      <c r="D5" s="51"/>
      <c r="E5" s="51" t="s">
        <v>7</v>
      </c>
      <c r="F5" s="51" t="s">
        <v>8</v>
      </c>
      <c r="G5" s="51"/>
      <c r="H5" s="51"/>
      <c r="I5" s="53" t="s">
        <v>9</v>
      </c>
      <c r="J5" s="53" t="s">
        <v>7</v>
      </c>
      <c r="K5" s="53" t="s">
        <v>10</v>
      </c>
      <c r="L5" s="53"/>
      <c r="M5" s="53"/>
      <c r="N5" s="53"/>
      <c r="O5" s="50"/>
      <c r="Q5" s="11"/>
    </row>
    <row r="6" spans="1:17" s="10" customFormat="1" ht="64.5" customHeight="1" x14ac:dyDescent="0.25">
      <c r="A6" s="50"/>
      <c r="B6" s="50"/>
      <c r="C6" s="50"/>
      <c r="D6" s="51"/>
      <c r="E6" s="51"/>
      <c r="F6" s="8" t="s">
        <v>7</v>
      </c>
      <c r="G6" s="12" t="s">
        <v>11</v>
      </c>
      <c r="H6" s="12" t="s">
        <v>12</v>
      </c>
      <c r="I6" s="53"/>
      <c r="J6" s="53"/>
      <c r="K6" s="12" t="s">
        <v>13</v>
      </c>
      <c r="L6" s="12" t="s">
        <v>14</v>
      </c>
      <c r="M6" s="12" t="s">
        <v>15</v>
      </c>
      <c r="N6" s="12" t="s">
        <v>16</v>
      </c>
      <c r="O6" s="50"/>
      <c r="Q6" s="11"/>
    </row>
    <row r="7" spans="1:17" s="3" customFormat="1" ht="24.75" customHeight="1" x14ac:dyDescent="0.25">
      <c r="A7" s="13" t="s">
        <v>17</v>
      </c>
      <c r="B7" s="14" t="s">
        <v>18</v>
      </c>
      <c r="C7" s="13">
        <v>1</v>
      </c>
      <c r="D7" s="15" t="s">
        <v>19</v>
      </c>
      <c r="E7" s="15" t="s">
        <v>20</v>
      </c>
      <c r="F7" s="16" t="s">
        <v>21</v>
      </c>
      <c r="G7" s="17" t="s">
        <v>22</v>
      </c>
      <c r="H7" s="17" t="s">
        <v>23</v>
      </c>
      <c r="I7" s="17" t="s">
        <v>24</v>
      </c>
      <c r="J7" s="18" t="s">
        <v>25</v>
      </c>
      <c r="K7" s="17" t="s">
        <v>26</v>
      </c>
      <c r="L7" s="17" t="s">
        <v>27</v>
      </c>
      <c r="M7" s="17" t="s">
        <v>28</v>
      </c>
      <c r="N7" s="17" t="s">
        <v>29</v>
      </c>
      <c r="O7" s="13" t="s">
        <v>30</v>
      </c>
    </row>
    <row r="8" spans="1:17" s="10" customFormat="1" ht="24" customHeight="1" x14ac:dyDescent="0.25">
      <c r="A8" s="47" t="s">
        <v>38</v>
      </c>
      <c r="B8" s="47"/>
      <c r="C8" s="20">
        <f>C9+C10</f>
        <v>6</v>
      </c>
      <c r="D8" s="42">
        <f>D10</f>
        <v>397100</v>
      </c>
      <c r="E8" s="42">
        <f>E9+E10</f>
        <v>397100</v>
      </c>
      <c r="F8" s="42">
        <f>F9+F10</f>
        <v>397100</v>
      </c>
      <c r="G8" s="25">
        <f>G9+G10</f>
        <v>397100</v>
      </c>
      <c r="H8" s="25">
        <f>H9+H10</f>
        <v>0</v>
      </c>
      <c r="I8" s="25"/>
      <c r="J8" s="25">
        <f>J9+J10</f>
        <v>0</v>
      </c>
      <c r="K8" s="25"/>
      <c r="L8" s="21">
        <f>L9+L10</f>
        <v>0</v>
      </c>
      <c r="M8" s="21"/>
      <c r="N8" s="21"/>
      <c r="O8" s="22"/>
    </row>
    <row r="9" spans="1:17" s="10" customFormat="1" ht="23.45" customHeight="1" x14ac:dyDescent="0.25">
      <c r="A9" s="19" t="s">
        <v>17</v>
      </c>
      <c r="B9" s="23" t="s">
        <v>31</v>
      </c>
      <c r="C9" s="24"/>
      <c r="D9" s="25"/>
      <c r="E9" s="25"/>
      <c r="F9" s="25"/>
      <c r="G9" s="25"/>
      <c r="H9" s="25"/>
      <c r="I9" s="25"/>
      <c r="J9" s="25"/>
      <c r="K9" s="25"/>
      <c r="L9" s="21"/>
      <c r="M9" s="21"/>
      <c r="N9" s="21"/>
      <c r="O9" s="25"/>
    </row>
    <row r="10" spans="1:17" s="10" customFormat="1" ht="23.45" customHeight="1" x14ac:dyDescent="0.25">
      <c r="A10" s="19" t="s">
        <v>18</v>
      </c>
      <c r="B10" s="23" t="s">
        <v>39</v>
      </c>
      <c r="C10" s="24">
        <f>C11</f>
        <v>6</v>
      </c>
      <c r="D10" s="24">
        <f>D11</f>
        <v>397100</v>
      </c>
      <c r="E10" s="24">
        <f>E11</f>
        <v>397100</v>
      </c>
      <c r="F10" s="24">
        <f>E11</f>
        <v>397100</v>
      </c>
      <c r="G10" s="24">
        <f>G11</f>
        <v>397100</v>
      </c>
      <c r="H10" s="24"/>
      <c r="I10" s="24"/>
      <c r="J10" s="24">
        <f>J11</f>
        <v>0</v>
      </c>
      <c r="K10" s="24"/>
      <c r="L10" s="9">
        <f>L11</f>
        <v>0</v>
      </c>
      <c r="M10" s="9"/>
      <c r="N10" s="9"/>
      <c r="O10" s="24"/>
      <c r="Q10" s="26"/>
    </row>
    <row r="11" spans="1:17" s="10" customFormat="1" ht="24" customHeight="1" x14ac:dyDescent="0.25">
      <c r="A11" s="19">
        <v>1</v>
      </c>
      <c r="B11" s="23" t="s">
        <v>33</v>
      </c>
      <c r="C11" s="24">
        <f>C12+C14</f>
        <v>6</v>
      </c>
      <c r="D11" s="24">
        <f>D12+D14</f>
        <v>397100</v>
      </c>
      <c r="E11" s="24">
        <f>E12</f>
        <v>397100</v>
      </c>
      <c r="F11" s="24">
        <f>F12</f>
        <v>397100</v>
      </c>
      <c r="G11" s="24">
        <f>G12</f>
        <v>397100</v>
      </c>
      <c r="H11" s="9"/>
      <c r="I11" s="9"/>
      <c r="J11" s="24">
        <f>J12+J14</f>
        <v>0</v>
      </c>
      <c r="K11" s="24"/>
      <c r="L11" s="9"/>
      <c r="M11" s="9"/>
      <c r="N11" s="9"/>
      <c r="O11" s="24"/>
      <c r="Q11" s="26"/>
    </row>
    <row r="12" spans="1:17" ht="24" customHeight="1" x14ac:dyDescent="0.25">
      <c r="A12" s="27"/>
      <c r="B12" s="28" t="s">
        <v>40</v>
      </c>
      <c r="C12" s="29">
        <v>6</v>
      </c>
      <c r="D12" s="33">
        <f>E12+J12</f>
        <v>397100</v>
      </c>
      <c r="E12" s="33">
        <f>F12+I12</f>
        <v>397100</v>
      </c>
      <c r="F12" s="33">
        <f t="shared" ref="F12:F14" si="0">SUM(G12:H12)</f>
        <v>397100</v>
      </c>
      <c r="G12" s="33">
        <v>397100</v>
      </c>
      <c r="H12" s="30">
        <v>0</v>
      </c>
      <c r="I12" s="30"/>
      <c r="J12" s="33">
        <f>SUM(K12:N12)</f>
        <v>0</v>
      </c>
      <c r="K12" s="33"/>
      <c r="L12" s="30"/>
      <c r="M12" s="30"/>
      <c r="N12" s="31"/>
      <c r="O12" s="32"/>
      <c r="Q12" s="1"/>
    </row>
    <row r="13" spans="1:17" ht="24" customHeight="1" x14ac:dyDescent="0.25">
      <c r="A13" s="27"/>
      <c r="B13" s="28"/>
      <c r="C13" s="29"/>
      <c r="D13" s="30"/>
      <c r="E13" s="30"/>
      <c r="F13" s="30"/>
      <c r="G13" s="30"/>
      <c r="H13" s="30"/>
      <c r="I13" s="30"/>
      <c r="J13" s="41"/>
      <c r="K13" s="41"/>
      <c r="L13" s="30"/>
      <c r="M13" s="30"/>
      <c r="N13" s="30"/>
      <c r="O13" s="33"/>
      <c r="Q13" s="1"/>
    </row>
    <row r="14" spans="1:17" ht="24" customHeight="1" x14ac:dyDescent="0.25">
      <c r="A14" s="27"/>
      <c r="B14" s="28"/>
      <c r="C14" s="29"/>
      <c r="D14" s="33">
        <f>J14</f>
        <v>0</v>
      </c>
      <c r="E14" s="30"/>
      <c r="F14" s="30">
        <f t="shared" si="0"/>
        <v>0</v>
      </c>
      <c r="G14" s="30">
        <f>'[1]LƯƠNG TỔNG HỢP'!S24</f>
        <v>0</v>
      </c>
      <c r="H14" s="30">
        <f>'[1]LƯƠNG TỔNG HỢP'!AH24</f>
        <v>0</v>
      </c>
      <c r="I14" s="30"/>
      <c r="J14" s="33">
        <f t="shared" ref="J14" si="1">SUM(K14:N14)</f>
        <v>0</v>
      </c>
      <c r="K14" s="33"/>
      <c r="L14" s="30"/>
      <c r="M14" s="30"/>
      <c r="N14" s="30"/>
      <c r="O14" s="33"/>
      <c r="Q14" s="1"/>
    </row>
    <row r="15" spans="1:17" s="10" customFormat="1" ht="23.25" hidden="1" customHeight="1" x14ac:dyDescent="0.25">
      <c r="A15" s="47" t="s">
        <v>32</v>
      </c>
      <c r="B15" s="47"/>
      <c r="C15" s="25">
        <f>C10</f>
        <v>6</v>
      </c>
      <c r="D15" s="25">
        <f>D11</f>
        <v>397100</v>
      </c>
      <c r="E15" s="25">
        <f>E11</f>
        <v>397100</v>
      </c>
      <c r="F15" s="25">
        <f>F11</f>
        <v>397100</v>
      </c>
      <c r="G15" s="25">
        <f>G11</f>
        <v>397100</v>
      </c>
      <c r="H15" s="25"/>
      <c r="I15" s="25"/>
      <c r="J15" s="25">
        <f>J11</f>
        <v>0</v>
      </c>
      <c r="K15" s="25">
        <f>K11</f>
        <v>0</v>
      </c>
      <c r="L15" s="21"/>
      <c r="M15" s="21"/>
      <c r="N15" s="21"/>
      <c r="O15" s="25"/>
    </row>
    <row r="16" spans="1:17" s="10" customFormat="1" ht="12" customHeight="1" x14ac:dyDescent="0.25">
      <c r="A16" s="34"/>
      <c r="B16" s="35"/>
      <c r="C16" s="36"/>
      <c r="D16" s="37"/>
      <c r="E16" s="37"/>
      <c r="F16" s="37"/>
      <c r="G16" s="38"/>
      <c r="H16" s="38"/>
      <c r="I16" s="38"/>
      <c r="J16" s="38"/>
      <c r="K16" s="38"/>
      <c r="L16" s="38"/>
      <c r="M16" s="38"/>
      <c r="N16" s="38"/>
      <c r="O16" s="39"/>
    </row>
    <row r="17" spans="2:17" x14ac:dyDescent="0.25"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2:17" x14ac:dyDescent="0.25">
      <c r="Q18" s="2" t="s">
        <v>34</v>
      </c>
    </row>
  </sheetData>
  <mergeCells count="18">
    <mergeCell ref="K5:N5"/>
    <mergeCell ref="A8:B8"/>
    <mergeCell ref="M3:O3"/>
    <mergeCell ref="B17:M17"/>
    <mergeCell ref="A15:B15"/>
    <mergeCell ref="A1:O1"/>
    <mergeCell ref="A2:O2"/>
    <mergeCell ref="A4:A6"/>
    <mergeCell ref="B4:B6"/>
    <mergeCell ref="C4:C6"/>
    <mergeCell ref="D4:D6"/>
    <mergeCell ref="E4:I4"/>
    <mergeCell ref="J4:N4"/>
    <mergeCell ref="O4:O6"/>
    <mergeCell ref="E5:E6"/>
    <mergeCell ref="F5:H5"/>
    <mergeCell ref="I5:I6"/>
    <mergeCell ref="J5:J6"/>
  </mergeCells>
  <pageMargins left="0.25" right="0.25" top="0.75" bottom="0.75" header="0.3" footer="0.3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2026-06-20T04:00:42Z</cp:lastPrinted>
  <dcterms:created xsi:type="dcterms:W3CDTF">2026-06-20T02:23:20Z</dcterms:created>
  <dcterms:modified xsi:type="dcterms:W3CDTF">2026-06-20T08:22:11Z</dcterms:modified>
</cp:coreProperties>
</file>